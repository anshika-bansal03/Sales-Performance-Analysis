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850C6A-583E-4A53-88E7-06A558CCC44C}" xr6:coauthVersionLast="47" xr6:coauthVersionMax="47" xr10:uidLastSave="{00000000-0000-0000-0000-000000000000}"/>
  <bookViews>
    <workbookView xWindow="-108" yWindow="-108" windowWidth="23256" windowHeight="12456" xr2:uid="{0BB2DAF0-F4A9-42A4-B385-CE11647F073F}"/>
  </bookViews>
  <sheets>
    <sheet name="Sheet1" sheetId="1" r:id="rId1"/>
    <sheet name="Sheet2" sheetId="2" r:id="rId2"/>
  </sheets>
  <calcPr calcId="191029"/>
  <pivotCaches>
    <pivotCache cacheId="3" r:id="rId3"/>
    <pivotCache cacheId="1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E13" i="1"/>
</calcChain>
</file>

<file path=xl/sharedStrings.xml><?xml version="1.0" encoding="utf-8"?>
<sst xmlns="http://schemas.openxmlformats.org/spreadsheetml/2006/main" count="90" uniqueCount="48">
  <si>
    <t>Order Date</t>
  </si>
  <si>
    <t>Region</t>
  </si>
  <si>
    <t>West</t>
  </si>
  <si>
    <t>East</t>
  </si>
  <si>
    <t>South</t>
  </si>
  <si>
    <t>North</t>
  </si>
  <si>
    <t>Category</t>
  </si>
  <si>
    <t>Tech</t>
  </si>
  <si>
    <t>Furniture</t>
  </si>
  <si>
    <t>Office</t>
  </si>
  <si>
    <t>Product</t>
  </si>
  <si>
    <t>Laptop</t>
  </si>
  <si>
    <t>Chair</t>
  </si>
  <si>
    <t>Mobile</t>
  </si>
  <si>
    <t>Printer</t>
  </si>
  <si>
    <t>Tablet</t>
  </si>
  <si>
    <t>Table</t>
  </si>
  <si>
    <t>Headphones</t>
  </si>
  <si>
    <t>Notebook</t>
  </si>
  <si>
    <t>Sales</t>
  </si>
  <si>
    <t>Profit</t>
  </si>
  <si>
    <t>SUM</t>
  </si>
  <si>
    <t>Pivot Charts:</t>
  </si>
  <si>
    <t>1.Top Products</t>
  </si>
  <si>
    <t>Row Labels</t>
  </si>
  <si>
    <t>Grand Total</t>
  </si>
  <si>
    <t>Sum of Sales</t>
  </si>
  <si>
    <t>Laptop is at Top</t>
  </si>
  <si>
    <t>2.Region Wise Sales</t>
  </si>
  <si>
    <t>(blank)</t>
  </si>
  <si>
    <t>West is at Highest</t>
  </si>
  <si>
    <t>&lt;01-01-2023</t>
  </si>
  <si>
    <t>Jan</t>
  </si>
  <si>
    <t>Feb</t>
  </si>
  <si>
    <t>Mar</t>
  </si>
  <si>
    <t>Apr</t>
  </si>
  <si>
    <t>May</t>
  </si>
  <si>
    <t>Jun</t>
  </si>
  <si>
    <t>Jul</t>
  </si>
  <si>
    <t>3.Monthly Sales</t>
  </si>
  <si>
    <t>4.Category Wise Profit</t>
  </si>
  <si>
    <t>Sum of Profit</t>
  </si>
  <si>
    <t>SALES PERFORMANCE DASHBOARD</t>
  </si>
  <si>
    <t>Highest selling product is Laptop</t>
  </si>
  <si>
    <t>Maximum sales from West region</t>
  </si>
  <si>
    <t>Technology is the most profitable category</t>
  </si>
  <si>
    <t>Increase in sales seen during middle of year months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</si>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</sst>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2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Analysis_Codec Technologies_Industrial Project.xlsx]Sheet1!PivotTable1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Sheet1!$B$17:$B$25</c:f>
              <c:strCache>
                <c:ptCount val="8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Printer</c:v>
                </c:pt>
                <c:pt idx="6">
                  <c:v>Table</c:v>
                </c:pt>
                <c:pt idx="7">
                  <c:v>Tablet</c:v>
                </c:pt>
              </c:strCache>
            </c:strRef>
          </c:cat>
          <c:val>
            <c:numRef>
              <c:f>Sheet1!$C$17:$C$25</c:f>
              <c:numCache>
                <c:formatCode>General</c:formatCode>
                <c:ptCount val="8"/>
                <c:pt idx="0">
                  <c:v>8000</c:v>
                </c:pt>
                <c:pt idx="1">
                  <c:v>7500</c:v>
                </c:pt>
                <c:pt idx="2">
                  <c:v>559500</c:v>
                </c:pt>
                <c:pt idx="3">
                  <c:v>58000</c:v>
                </c:pt>
                <c:pt idx="4">
                  <c:v>12000</c:v>
                </c:pt>
                <c:pt idx="5">
                  <c:v>15000</c:v>
                </c:pt>
                <c:pt idx="6">
                  <c:v>12000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B-4C50-A737-824EFE6AC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688191"/>
        <c:axId val="1816638751"/>
      </c:barChart>
      <c:catAx>
        <c:axId val="18166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38751"/>
        <c:crosses val="autoZero"/>
        <c:auto val="1"/>
        <c:lblAlgn val="ctr"/>
        <c:lblOffset val="100"/>
        <c:noMultiLvlLbl val="0"/>
      </c:catAx>
      <c:valAx>
        <c:axId val="181663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Analysis_Codec Technologies_Industrial Project.xlsx]Sheet1!PivotTable4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2A-45AC-AA20-227B4B943A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2A-45AC-AA20-227B4B943A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2A-45AC-AA20-227B4B943A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2A-45AC-AA20-227B4B943A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2A-45AC-AA20-227B4B943A51}"/>
              </c:ext>
            </c:extLst>
          </c:dPt>
          <c:cat>
            <c:strRef>
              <c:f>Sheet1!$B$28:$B$33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Sheet1!$C$28:$C$33</c:f>
              <c:numCache>
                <c:formatCode>General</c:formatCode>
                <c:ptCount val="5"/>
                <c:pt idx="0">
                  <c:v>63000</c:v>
                </c:pt>
                <c:pt idx="1">
                  <c:v>7500</c:v>
                </c:pt>
                <c:pt idx="2">
                  <c:v>55000</c:v>
                </c:pt>
                <c:pt idx="3">
                  <c:v>566500</c:v>
                </c:pt>
                <c:pt idx="4">
                  <c:v>692000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2A-45AC-AA20-227B4B94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Analysis_Codec Technologies_Industrial Project.xlsx]Sheet1!PivotTable5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Sheet1!$B$36:$B$44</c:f>
              <c:strCache>
                <c:ptCount val="8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</c:strCache>
            </c:strRef>
          </c:cat>
          <c:val>
            <c:numRef>
              <c:f>Sheet1!$C$36:$C$44</c:f>
              <c:numCache>
                <c:formatCode>General</c:formatCode>
                <c:ptCount val="8"/>
                <c:pt idx="0">
                  <c:v>692000</c:v>
                </c:pt>
                <c:pt idx="1">
                  <c:v>508000</c:v>
                </c:pt>
                <c:pt idx="2">
                  <c:v>45000</c:v>
                </c:pt>
                <c:pt idx="3">
                  <c:v>39500</c:v>
                </c:pt>
                <c:pt idx="4">
                  <c:v>12000</c:v>
                </c:pt>
                <c:pt idx="5">
                  <c:v>55000</c:v>
                </c:pt>
                <c:pt idx="6">
                  <c:v>28000</c:v>
                </c:pt>
                <c:pt idx="7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9-4981-8385-14FCF72D6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644511"/>
        <c:axId val="1816625791"/>
      </c:lineChart>
      <c:catAx>
        <c:axId val="181664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25791"/>
        <c:crosses val="autoZero"/>
        <c:auto val="1"/>
        <c:lblAlgn val="ctr"/>
        <c:lblOffset val="100"/>
        <c:noMultiLvlLbl val="0"/>
      </c:catAx>
      <c:valAx>
        <c:axId val="181662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4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Analysis_Codec Technologies_Industrial Project.xlsx]Sheet1!PivotTable6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Sheet1!$B$47:$B$51</c:f>
              <c:strCache>
                <c:ptCount val="4"/>
                <c:pt idx="0">
                  <c:v>Furniture</c:v>
                </c:pt>
                <c:pt idx="1">
                  <c:v>Office</c:v>
                </c:pt>
                <c:pt idx="2">
                  <c:v>Tech</c:v>
                </c:pt>
                <c:pt idx="3">
                  <c:v>(blank)</c:v>
                </c:pt>
              </c:strCache>
            </c:strRef>
          </c:cat>
          <c:val>
            <c:numRef>
              <c:f>Sheet1!$C$47:$C$51</c:f>
              <c:numCache>
                <c:formatCode>General</c:formatCode>
                <c:ptCount val="4"/>
                <c:pt idx="0">
                  <c:v>7700</c:v>
                </c:pt>
                <c:pt idx="1">
                  <c:v>2800</c:v>
                </c:pt>
                <c:pt idx="2">
                  <c:v>27000</c:v>
                </c:pt>
                <c:pt idx="3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9-405A-8EDF-055F50418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651711"/>
        <c:axId val="1816637311"/>
      </c:barChart>
      <c:catAx>
        <c:axId val="18166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37311"/>
        <c:crosses val="autoZero"/>
        <c:auto val="1"/>
        <c:lblAlgn val="ctr"/>
        <c:lblOffset val="100"/>
        <c:noMultiLvlLbl val="0"/>
      </c:catAx>
      <c:valAx>
        <c:axId val="18166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160020</xdr:rowOff>
    </xdr:from>
    <xdr:to>
      <xdr:col>10</xdr:col>
      <xdr:colOff>198120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07BAC-F303-4F7A-851F-D04196C00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1</xdr:row>
      <xdr:rowOff>175260</xdr:rowOff>
    </xdr:from>
    <xdr:to>
      <xdr:col>19</xdr:col>
      <xdr:colOff>144780</xdr:colOff>
      <xdr:row>19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58DF1-94F9-4249-895F-8252F947E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320040</xdr:colOff>
      <xdr:row>24</xdr:row>
      <xdr:rowOff>53340</xdr:rowOff>
    </xdr:from>
    <xdr:to>
      <xdr:col>10</xdr:col>
      <xdr:colOff>342900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4438A6-AF59-4537-93BC-429D5CD74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411480</xdr:colOff>
      <xdr:row>24</xdr:row>
      <xdr:rowOff>7620</xdr:rowOff>
    </xdr:from>
    <xdr:to>
      <xdr:col>19</xdr:col>
      <xdr:colOff>266700</xdr:colOff>
      <xdr:row>39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13EDB4-73AF-416A-8C4E-87DBC6166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905296527781" createdVersion="8" refreshedVersion="8" minRefreshableVersion="3" recordCount="11" xr:uid="{565E1281-3DCE-4AA9-B005-C8125D108917}">
  <cacheSource type="worksheet">
    <worksheetSource ref="D1:E12" sheet="Sheet1"/>
  </cacheSource>
  <cacheFields count="2">
    <cacheField name="Product" numFmtId="0">
      <sharedItems count="8">
        <s v="Laptop"/>
        <s v="Chair"/>
        <s v="Mobile"/>
        <s v="Printer"/>
        <s v="Tablet"/>
        <s v="Table"/>
        <s v="Headphones"/>
        <s v="Notebook"/>
      </sharedItems>
    </cacheField>
    <cacheField name="Sales" numFmtId="0">
      <sharedItems containsSemiMixedTypes="0" containsString="0" containsNumber="1" containsInteger="1" minValue="45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907374884257" createdVersion="8" refreshedVersion="8" minRefreshableVersion="3" recordCount="12" xr:uid="{E3FBA466-59EA-4504-8B4F-BD686D369772}">
  <cacheSource type="worksheet">
    <worksheetSource name="Table2"/>
  </cacheSource>
  <cacheFields count="8">
    <cacheField name="Order Date" numFmtId="14">
      <sharedItems containsNonDate="0" containsDate="1" containsString="0" containsBlank="1" minDate="2023-01-01T00:00:00" maxDate="2023-07-31T00:00:00" count="12">
        <d v="2023-01-01T00:00:00"/>
        <d v="2023-01-05T00:00:00"/>
        <d v="2023-02-11T00:00:00"/>
        <d v="2023-02-15T00:00:00"/>
        <d v="2023-03-01T00:00:00"/>
        <d v="2023-03-13T00:00:00"/>
        <d v="2023-03-27T00:00:00"/>
        <d v="2023-04-25T00:00:00"/>
        <d v="2023-05-10T00:00:00"/>
        <d v="2023-06-18T00:00:00"/>
        <d v="2023-07-30T00:00:00"/>
        <m/>
      </sharedItems>
      <fieldGroup par="7"/>
    </cacheField>
    <cacheField name="Region" numFmtId="0">
      <sharedItems containsBlank="1" count="5">
        <s v="West"/>
        <s v="East"/>
        <s v="South"/>
        <s v="North"/>
        <m/>
      </sharedItems>
    </cacheField>
    <cacheField name="Category" numFmtId="0">
      <sharedItems containsBlank="1" count="4">
        <s v="Tech"/>
        <s v="Furniture"/>
        <s v="Office"/>
        <m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4500" maxValue="692000"/>
    </cacheField>
    <cacheField name="Profit" numFmtId="0">
      <sharedItems containsSemiMixedTypes="0" containsString="0" containsNumber="1" containsInteger="1" minValue="800" maxValue="37500"/>
    </cacheField>
    <cacheField name="Days (Order Date)" numFmtId="0" databaseField="0">
      <fieldGroup base="0">
        <rangePr groupBy="days" startDate="2023-01-01T00:00:00" endDate="2023-07-3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3"/>
        </groupItems>
      </fieldGroup>
    </cacheField>
    <cacheField name="Months (Order Date)" numFmtId="0" databaseField="0">
      <fieldGroup base="0">
        <rangePr groupBy="months" startDate="2023-01-01T00:00:00" endDate="2023-07-3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500000"/>
  </r>
  <r>
    <x v="1"/>
    <n v="8000"/>
  </r>
  <r>
    <x v="2"/>
    <n v="30000"/>
  </r>
  <r>
    <x v="3"/>
    <n v="15000"/>
  </r>
  <r>
    <x v="4"/>
    <n v="20000"/>
  </r>
  <r>
    <x v="5"/>
    <n v="12000"/>
  </r>
  <r>
    <x v="6"/>
    <n v="7500"/>
  </r>
  <r>
    <x v="7"/>
    <n v="12000"/>
  </r>
  <r>
    <x v="0"/>
    <n v="55000"/>
  </r>
  <r>
    <x v="2"/>
    <n v="28000"/>
  </r>
  <r>
    <x v="0"/>
    <n v="4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s v="Laptop"/>
    <n v="500000"/>
    <n v="8000"/>
  </r>
  <r>
    <x v="1"/>
    <x v="1"/>
    <x v="1"/>
    <s v="Chair"/>
    <n v="8000"/>
    <n v="1200"/>
  </r>
  <r>
    <x v="2"/>
    <x v="0"/>
    <x v="0"/>
    <s v="Mobile"/>
    <n v="30000"/>
    <n v="5000"/>
  </r>
  <r>
    <x v="3"/>
    <x v="2"/>
    <x v="2"/>
    <s v="Printer"/>
    <n v="15000"/>
    <n v="2000"/>
  </r>
  <r>
    <x v="4"/>
    <x v="0"/>
    <x v="0"/>
    <s v="Tablet"/>
    <n v="20000"/>
    <n v="3000"/>
  </r>
  <r>
    <x v="5"/>
    <x v="2"/>
    <x v="1"/>
    <s v="Table"/>
    <n v="12000"/>
    <n v="1500"/>
  </r>
  <r>
    <x v="6"/>
    <x v="3"/>
    <x v="0"/>
    <s v="Headphones"/>
    <n v="7500"/>
    <n v="1000"/>
  </r>
  <r>
    <x v="7"/>
    <x v="0"/>
    <x v="2"/>
    <s v="Notebook"/>
    <n v="12000"/>
    <n v="800"/>
  </r>
  <r>
    <x v="8"/>
    <x v="1"/>
    <x v="0"/>
    <s v="Laptop"/>
    <n v="55000"/>
    <n v="9000"/>
  </r>
  <r>
    <x v="9"/>
    <x v="2"/>
    <x v="1"/>
    <s v="Mobile"/>
    <n v="28000"/>
    <n v="5000"/>
  </r>
  <r>
    <x v="10"/>
    <x v="0"/>
    <x v="0"/>
    <s v="Laptop"/>
    <n v="4500"/>
    <n v="1000"/>
  </r>
  <r>
    <x v="11"/>
    <x v="4"/>
    <x v="3"/>
    <s v="SUM"/>
    <n v="692000"/>
    <n v="3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F28B5-807A-4A10-869C-CB4C2D5D8968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46:C51" firstHeaderRow="1" firstDataRow="1" firstDataCol="1"/>
  <pivotFields count="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0909F-5055-43BF-92A9-A47AF9AE7F6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5:C44" firstHeaderRow="1" firstDataRow="1" firstDataCol="1"/>
  <pivotFields count="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02512-D34E-4B62-905B-13F617120809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7:C33" firstHeaderRow="1" firstDataRow="1" firstDataCol="1"/>
  <pivotFields count="8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9F270-3C3D-44E6-9001-D0DCD6E0076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6:C25" firstHeaderRow="1" firstDataRow="1" firstDataCol="1"/>
  <pivotFields count="2">
    <pivotField axis="axisRow" showAll="0">
      <items count="9">
        <item x="1"/>
        <item x="6"/>
        <item x="0"/>
        <item x="2"/>
        <item x="7"/>
        <item x="3"/>
        <item x="5"/>
        <item x="4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99260-F89E-4505-B7AC-B438DB08678E}" name="Table2" displayName="Table2" ref="A1:F13" totalsRowShown="0">
  <autoFilter ref="A1:F13" xr:uid="{2B899260-F89E-4505-B7AC-B438DB08678E}"/>
  <tableColumns count="6">
    <tableColumn id="1" xr3:uid="{3B415005-9673-4242-AD14-B3ECCAFDF2EA}" name="Order Date" dataDxfId="0"/>
    <tableColumn id="2" xr3:uid="{E18E965C-A9CC-4E34-BB04-C5AD128E37AF}" name="Region"/>
    <tableColumn id="3" xr3:uid="{03902A63-B545-4FF3-8AA4-CCE0D21BB5E5}" name="Category"/>
    <tableColumn id="4" xr3:uid="{C92C5E20-78ED-4CBF-A35B-E20BA0E98136}" name="Product"/>
    <tableColumn id="5" xr3:uid="{430B2940-CBF4-4F8C-BC59-5011A7BB50C4}" name="Sales"/>
    <tableColumn id="6" xr3:uid="{F9ABCDC7-7A22-4E9C-A146-5BDA3DCBC16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15A1-1E2B-4767-B83C-17482D28454E}">
  <dimension ref="A1:F51"/>
  <sheetViews>
    <sheetView tabSelected="1" workbookViewId="0">
      <selection activeCell="I21" sqref="I21"/>
    </sheetView>
  </sheetViews>
  <sheetFormatPr defaultRowHeight="14.4" x14ac:dyDescent="0.3"/>
  <cols>
    <col min="1" max="1" width="18.88671875" customWidth="1"/>
    <col min="2" max="2" width="12.5546875" bestFit="1" customWidth="1"/>
    <col min="3" max="3" width="12.109375" bestFit="1" customWidth="1"/>
    <col min="4" max="17" width="15.5546875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10</v>
      </c>
      <c r="E1" t="s">
        <v>19</v>
      </c>
      <c r="F1" t="s">
        <v>20</v>
      </c>
    </row>
    <row r="2" spans="1:6" x14ac:dyDescent="0.3">
      <c r="A2" s="1">
        <v>44927</v>
      </c>
      <c r="B2" t="s">
        <v>2</v>
      </c>
      <c r="C2" t="s">
        <v>7</v>
      </c>
      <c r="D2" t="s">
        <v>11</v>
      </c>
      <c r="E2">
        <v>500000</v>
      </c>
      <c r="F2">
        <v>8000</v>
      </c>
    </row>
    <row r="3" spans="1:6" x14ac:dyDescent="0.3">
      <c r="A3" s="1">
        <v>44931</v>
      </c>
      <c r="B3" t="s">
        <v>3</v>
      </c>
      <c r="C3" t="s">
        <v>8</v>
      </c>
      <c r="D3" t="s">
        <v>12</v>
      </c>
      <c r="E3">
        <v>8000</v>
      </c>
      <c r="F3">
        <v>1200</v>
      </c>
    </row>
    <row r="4" spans="1:6" x14ac:dyDescent="0.3">
      <c r="A4" s="1">
        <v>44968</v>
      </c>
      <c r="B4" t="s">
        <v>2</v>
      </c>
      <c r="C4" t="s">
        <v>7</v>
      </c>
      <c r="D4" t="s">
        <v>13</v>
      </c>
      <c r="E4">
        <v>30000</v>
      </c>
      <c r="F4">
        <v>5000</v>
      </c>
    </row>
    <row r="5" spans="1:6" x14ac:dyDescent="0.3">
      <c r="A5" s="1">
        <v>44972</v>
      </c>
      <c r="B5" t="s">
        <v>4</v>
      </c>
      <c r="C5" t="s">
        <v>9</v>
      </c>
      <c r="D5" t="s">
        <v>14</v>
      </c>
      <c r="E5">
        <v>15000</v>
      </c>
      <c r="F5">
        <v>2000</v>
      </c>
    </row>
    <row r="6" spans="1:6" x14ac:dyDescent="0.3">
      <c r="A6" s="1">
        <v>44986</v>
      </c>
      <c r="B6" t="s">
        <v>2</v>
      </c>
      <c r="C6" t="s">
        <v>7</v>
      </c>
      <c r="D6" t="s">
        <v>15</v>
      </c>
      <c r="E6">
        <v>20000</v>
      </c>
      <c r="F6">
        <v>3000</v>
      </c>
    </row>
    <row r="7" spans="1:6" x14ac:dyDescent="0.3">
      <c r="A7" s="1">
        <v>44998</v>
      </c>
      <c r="B7" t="s">
        <v>4</v>
      </c>
      <c r="C7" t="s">
        <v>8</v>
      </c>
      <c r="D7" t="s">
        <v>16</v>
      </c>
      <c r="E7">
        <v>12000</v>
      </c>
      <c r="F7">
        <v>1500</v>
      </c>
    </row>
    <row r="8" spans="1:6" x14ac:dyDescent="0.3">
      <c r="A8" s="1">
        <v>45012</v>
      </c>
      <c r="B8" t="s">
        <v>5</v>
      </c>
      <c r="C8" t="s">
        <v>7</v>
      </c>
      <c r="D8" t="s">
        <v>17</v>
      </c>
      <c r="E8">
        <v>7500</v>
      </c>
      <c r="F8">
        <v>1000</v>
      </c>
    </row>
    <row r="9" spans="1:6" x14ac:dyDescent="0.3">
      <c r="A9" s="1">
        <v>45041</v>
      </c>
      <c r="B9" t="s">
        <v>2</v>
      </c>
      <c r="C9" t="s">
        <v>9</v>
      </c>
      <c r="D9" t="s">
        <v>18</v>
      </c>
      <c r="E9">
        <v>12000</v>
      </c>
      <c r="F9">
        <v>800</v>
      </c>
    </row>
    <row r="10" spans="1:6" x14ac:dyDescent="0.3">
      <c r="A10" s="1">
        <v>45056</v>
      </c>
      <c r="B10" t="s">
        <v>3</v>
      </c>
      <c r="C10" t="s">
        <v>7</v>
      </c>
      <c r="D10" t="s">
        <v>11</v>
      </c>
      <c r="E10">
        <v>55000</v>
      </c>
      <c r="F10">
        <v>9000</v>
      </c>
    </row>
    <row r="11" spans="1:6" x14ac:dyDescent="0.3">
      <c r="A11" s="1">
        <v>45095</v>
      </c>
      <c r="B11" t="s">
        <v>4</v>
      </c>
      <c r="C11" t="s">
        <v>8</v>
      </c>
      <c r="D11" t="s">
        <v>13</v>
      </c>
      <c r="E11">
        <v>28000</v>
      </c>
      <c r="F11">
        <v>5000</v>
      </c>
    </row>
    <row r="12" spans="1:6" x14ac:dyDescent="0.3">
      <c r="A12" s="1">
        <v>45137</v>
      </c>
      <c r="B12" t="s">
        <v>2</v>
      </c>
      <c r="C12" t="s">
        <v>7</v>
      </c>
      <c r="D12" t="s">
        <v>11</v>
      </c>
      <c r="E12">
        <v>4500</v>
      </c>
      <c r="F12">
        <v>1000</v>
      </c>
    </row>
    <row r="13" spans="1:6" x14ac:dyDescent="0.3">
      <c r="A13" s="1"/>
      <c r="D13" t="s">
        <v>21</v>
      </c>
      <c r="E13">
        <f>SUM(E2:E12)</f>
        <v>692000</v>
      </c>
      <c r="F13">
        <f>SUM(F2:F12)</f>
        <v>37500</v>
      </c>
    </row>
    <row r="14" spans="1:6" x14ac:dyDescent="0.3">
      <c r="A14" s="1"/>
    </row>
    <row r="15" spans="1:6" x14ac:dyDescent="0.3">
      <c r="A15" s="8" t="s">
        <v>22</v>
      </c>
    </row>
    <row r="16" spans="1:6" x14ac:dyDescent="0.3">
      <c r="A16" s="1" t="s">
        <v>23</v>
      </c>
      <c r="B16" s="2" t="s">
        <v>24</v>
      </c>
      <c r="C16" t="s">
        <v>26</v>
      </c>
    </row>
    <row r="17" spans="1:4" x14ac:dyDescent="0.3">
      <c r="A17" s="1"/>
      <c r="B17" s="3" t="s">
        <v>12</v>
      </c>
      <c r="C17" s="4">
        <v>8000</v>
      </c>
    </row>
    <row r="18" spans="1:4" x14ac:dyDescent="0.3">
      <c r="A18" s="1"/>
      <c r="B18" s="3" t="s">
        <v>17</v>
      </c>
      <c r="C18" s="4">
        <v>7500</v>
      </c>
    </row>
    <row r="19" spans="1:4" x14ac:dyDescent="0.3">
      <c r="B19" s="3" t="s">
        <v>11</v>
      </c>
      <c r="C19" s="4">
        <v>559500</v>
      </c>
      <c r="D19" t="s">
        <v>27</v>
      </c>
    </row>
    <row r="20" spans="1:4" x14ac:dyDescent="0.3">
      <c r="B20" s="3" t="s">
        <v>13</v>
      </c>
      <c r="C20" s="4">
        <v>58000</v>
      </c>
    </row>
    <row r="21" spans="1:4" x14ac:dyDescent="0.3">
      <c r="B21" s="3" t="s">
        <v>18</v>
      </c>
      <c r="C21" s="4">
        <v>12000</v>
      </c>
    </row>
    <row r="22" spans="1:4" x14ac:dyDescent="0.3">
      <c r="B22" s="3" t="s">
        <v>14</v>
      </c>
      <c r="C22" s="4">
        <v>15000</v>
      </c>
    </row>
    <row r="23" spans="1:4" x14ac:dyDescent="0.3">
      <c r="B23" s="3" t="s">
        <v>16</v>
      </c>
      <c r="C23" s="4">
        <v>12000</v>
      </c>
    </row>
    <row r="24" spans="1:4" x14ac:dyDescent="0.3">
      <c r="B24" s="3" t="s">
        <v>15</v>
      </c>
      <c r="C24" s="4">
        <v>20000</v>
      </c>
    </row>
    <row r="25" spans="1:4" x14ac:dyDescent="0.3">
      <c r="B25" s="3" t="s">
        <v>25</v>
      </c>
      <c r="C25" s="4">
        <v>692000</v>
      </c>
    </row>
    <row r="27" spans="1:4" x14ac:dyDescent="0.3">
      <c r="A27" t="s">
        <v>28</v>
      </c>
      <c r="B27" s="2" t="s">
        <v>24</v>
      </c>
      <c r="C27" t="s">
        <v>26</v>
      </c>
    </row>
    <row r="28" spans="1:4" x14ac:dyDescent="0.3">
      <c r="B28" s="3" t="s">
        <v>3</v>
      </c>
      <c r="C28" s="4">
        <v>63000</v>
      </c>
    </row>
    <row r="29" spans="1:4" x14ac:dyDescent="0.3">
      <c r="B29" s="3" t="s">
        <v>5</v>
      </c>
      <c r="C29" s="4">
        <v>7500</v>
      </c>
      <c r="D29" t="s">
        <v>30</v>
      </c>
    </row>
    <row r="30" spans="1:4" x14ac:dyDescent="0.3">
      <c r="B30" s="3" t="s">
        <v>4</v>
      </c>
      <c r="C30" s="4">
        <v>55000</v>
      </c>
    </row>
    <row r="31" spans="1:4" x14ac:dyDescent="0.3">
      <c r="B31" s="3" t="s">
        <v>2</v>
      </c>
      <c r="C31" s="4">
        <v>566500</v>
      </c>
    </row>
    <row r="32" spans="1:4" x14ac:dyDescent="0.3">
      <c r="B32" s="3" t="s">
        <v>29</v>
      </c>
      <c r="C32" s="4">
        <v>692000</v>
      </c>
    </row>
    <row r="33" spans="1:3" x14ac:dyDescent="0.3">
      <c r="B33" s="3" t="s">
        <v>25</v>
      </c>
      <c r="C33" s="4">
        <v>1384000</v>
      </c>
    </row>
    <row r="35" spans="1:3" x14ac:dyDescent="0.3">
      <c r="A35" t="s">
        <v>39</v>
      </c>
      <c r="B35" s="2" t="s">
        <v>24</v>
      </c>
      <c r="C35" t="s">
        <v>26</v>
      </c>
    </row>
    <row r="36" spans="1:3" x14ac:dyDescent="0.3">
      <c r="B36" s="3" t="s">
        <v>31</v>
      </c>
      <c r="C36" s="4">
        <v>692000</v>
      </c>
    </row>
    <row r="37" spans="1:3" x14ac:dyDescent="0.3">
      <c r="B37" s="3" t="s">
        <v>32</v>
      </c>
      <c r="C37" s="4">
        <v>508000</v>
      </c>
    </row>
    <row r="38" spans="1:3" x14ac:dyDescent="0.3">
      <c r="B38" s="3" t="s">
        <v>33</v>
      </c>
      <c r="C38" s="4">
        <v>45000</v>
      </c>
    </row>
    <row r="39" spans="1:3" x14ac:dyDescent="0.3">
      <c r="B39" s="3" t="s">
        <v>34</v>
      </c>
      <c r="C39" s="4">
        <v>39500</v>
      </c>
    </row>
    <row r="40" spans="1:3" x14ac:dyDescent="0.3">
      <c r="B40" s="3" t="s">
        <v>35</v>
      </c>
      <c r="C40" s="4">
        <v>12000</v>
      </c>
    </row>
    <row r="41" spans="1:3" x14ac:dyDescent="0.3">
      <c r="B41" s="3" t="s">
        <v>36</v>
      </c>
      <c r="C41" s="4">
        <v>55000</v>
      </c>
    </row>
    <row r="42" spans="1:3" x14ac:dyDescent="0.3">
      <c r="B42" s="3" t="s">
        <v>37</v>
      </c>
      <c r="C42" s="4">
        <v>28000</v>
      </c>
    </row>
    <row r="43" spans="1:3" x14ac:dyDescent="0.3">
      <c r="B43" s="3" t="s">
        <v>38</v>
      </c>
      <c r="C43" s="4">
        <v>4500</v>
      </c>
    </row>
    <row r="44" spans="1:3" x14ac:dyDescent="0.3">
      <c r="B44" s="3" t="s">
        <v>25</v>
      </c>
      <c r="C44" s="4">
        <v>1384000</v>
      </c>
    </row>
    <row r="46" spans="1:3" x14ac:dyDescent="0.3">
      <c r="A46" t="s">
        <v>40</v>
      </c>
      <c r="B46" s="2" t="s">
        <v>24</v>
      </c>
      <c r="C46" t="s">
        <v>41</v>
      </c>
    </row>
    <row r="47" spans="1:3" x14ac:dyDescent="0.3">
      <c r="B47" s="3" t="s">
        <v>8</v>
      </c>
      <c r="C47" s="4">
        <v>7700</v>
      </c>
    </row>
    <row r="48" spans="1:3" x14ac:dyDescent="0.3">
      <c r="B48" s="3" t="s">
        <v>9</v>
      </c>
      <c r="C48" s="4">
        <v>2800</v>
      </c>
    </row>
    <row r="49" spans="2:3" x14ac:dyDescent="0.3">
      <c r="B49" s="3" t="s">
        <v>7</v>
      </c>
      <c r="C49" s="4">
        <v>27000</v>
      </c>
    </row>
    <row r="50" spans="2:3" x14ac:dyDescent="0.3">
      <c r="B50" s="3" t="s">
        <v>29</v>
      </c>
      <c r="C50" s="4">
        <v>37500</v>
      </c>
    </row>
    <row r="51" spans="2:3" x14ac:dyDescent="0.3">
      <c r="B51" s="3" t="s">
        <v>25</v>
      </c>
      <c r="C51" s="4">
        <v>75000</v>
      </c>
    </row>
  </sheetData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0B1A-44AE-4591-B08A-888D059CE671}">
  <dimension ref="C1:P43"/>
  <sheetViews>
    <sheetView workbookViewId="0">
      <selection activeCell="V23" sqref="V23"/>
    </sheetView>
  </sheetViews>
  <sheetFormatPr defaultRowHeight="14.4" x14ac:dyDescent="0.3"/>
  <sheetData>
    <row r="1" spans="8:8" ht="31.2" x14ac:dyDescent="0.6">
      <c r="H1" s="5" t="s">
        <v>42</v>
      </c>
    </row>
    <row r="21" spans="11:16" ht="23.4" x14ac:dyDescent="0.45">
      <c r="K21" s="7" t="s">
        <v>43</v>
      </c>
      <c r="L21" s="7"/>
      <c r="M21" s="7"/>
      <c r="N21" s="7"/>
      <c r="O21" s="7"/>
      <c r="P21" s="7"/>
    </row>
    <row r="22" spans="11:16" ht="23.4" x14ac:dyDescent="0.45">
      <c r="K22" s="7" t="s">
        <v>44</v>
      </c>
      <c r="L22" s="7"/>
      <c r="M22" s="7"/>
      <c r="N22" s="7"/>
      <c r="O22" s="7"/>
      <c r="P22" s="7"/>
    </row>
    <row r="23" spans="11:16" ht="23.4" x14ac:dyDescent="0.45">
      <c r="K23" s="7" t="s">
        <v>45</v>
      </c>
      <c r="L23" s="7"/>
      <c r="M23" s="7"/>
      <c r="N23" s="7"/>
      <c r="O23" s="7"/>
      <c r="P23" s="7"/>
    </row>
    <row r="24" spans="11:16" ht="23.4" x14ac:dyDescent="0.45">
      <c r="K24" s="7" t="s">
        <v>46</v>
      </c>
      <c r="L24" s="7"/>
      <c r="M24" s="7"/>
      <c r="N24" s="7"/>
      <c r="O24" s="7"/>
      <c r="P24" s="7"/>
    </row>
    <row r="38" spans="3:13" ht="23.4" x14ac:dyDescent="0.45">
      <c r="H38" s="6" t="s">
        <v>47</v>
      </c>
      <c r="I38" s="6"/>
      <c r="J38" s="6"/>
      <c r="K38" s="6"/>
      <c r="L38" s="6"/>
      <c r="M38" s="6"/>
    </row>
    <row r="43" spans="3:13" ht="23.4" x14ac:dyDescent="0.45">
      <c r="C43" s="6"/>
      <c r="D43" s="6"/>
      <c r="E43" s="6"/>
      <c r="F43" s="6"/>
      <c r="G43" s="6"/>
      <c r="H43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Bansal</dc:creator>
  <cp:lastModifiedBy>Yash Bansal</cp:lastModifiedBy>
  <dcterms:created xsi:type="dcterms:W3CDTF">2026-06-28T16:02:26Z</dcterms:created>
  <dcterms:modified xsi:type="dcterms:W3CDTF">2026-06-28T16:50:14Z</dcterms:modified>
</cp:coreProperties>
</file>